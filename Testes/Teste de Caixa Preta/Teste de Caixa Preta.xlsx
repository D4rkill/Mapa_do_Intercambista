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C1C0BFC-2509-4FDB-883A-EF70FF2D0C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E" sheetId="1" r:id="rId1"/>
    <sheet name="PRIORIDAD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N8" i="1"/>
  <c r="L8" i="1"/>
  <c r="I8" i="1"/>
  <c r="F8" i="1"/>
  <c r="E8" i="1"/>
  <c r="K8" i="1"/>
  <c r="H8" i="1"/>
</calcChain>
</file>

<file path=xl/sharedStrings.xml><?xml version="1.0" encoding="utf-8"?>
<sst xmlns="http://schemas.openxmlformats.org/spreadsheetml/2006/main" count="82" uniqueCount="52">
  <si>
    <t>ID do Usuário (Apelido)</t>
  </si>
  <si>
    <t>Idade Estimada</t>
  </si>
  <si>
    <t>Experiência Digital (Alta/Média/Baixa)</t>
  </si>
  <si>
    <t>Tarefa 1 - Descrição</t>
  </si>
  <si>
    <t>Tarefa 1 - Tempo (segundos)</t>
  </si>
  <si>
    <t>Tarefa 1 - Sucesso (Sim/Não)</t>
  </si>
  <si>
    <t>Tarefa 2 - Descrição</t>
  </si>
  <si>
    <t>Tarefa 2 - Tempo (segundos)</t>
  </si>
  <si>
    <t>Tarefa 2 - Sucesso (Sim/Não)</t>
  </si>
  <si>
    <t>Tarefa 3 - Descrição</t>
  </si>
  <si>
    <t>Tarefa 3 - Tempo (segundos)</t>
  </si>
  <si>
    <t>Tarefa 3 - Sucesso (Sim/Não)</t>
  </si>
  <si>
    <t>Comentário Geral do Usuário</t>
  </si>
  <si>
    <t>Nota SUS</t>
  </si>
  <si>
    <t>Notas do NPS</t>
  </si>
  <si>
    <t>Tom</t>
  </si>
  <si>
    <t>30 - 39 anos</t>
  </si>
  <si>
    <t>Média</t>
  </si>
  <si>
    <t>Acessar o Cadastro</t>
  </si>
  <si>
    <t>Sim</t>
  </si>
  <si>
    <t>Acessar Forum</t>
  </si>
  <si>
    <t>Acessar Destinos</t>
  </si>
  <si>
    <t>sistema elaborado, fácil de entender</t>
  </si>
  <si>
    <t>Mordecai</t>
  </si>
  <si>
    <t>acho o site bem objetivo e simples de mexer</t>
  </si>
  <si>
    <t>Ishida</t>
  </si>
  <si>
    <t>16 - 20 anos</t>
  </si>
  <si>
    <t>Alto</t>
  </si>
  <si>
    <t>Gostei do objetivo da aplicação, o design é sucinto e bem objetivo nos mínimos detalhes, telas bem limpas e diretas. Usaria facilmente a aplicação pela facilidade de conseguir encontrar diversidades de opções de intercâmbios</t>
  </si>
  <si>
    <t>TomArctic</t>
  </si>
  <si>
    <t>21- 29 anos</t>
  </si>
  <si>
    <t>é igual a 90% dos sites que eu já vi, é interessante a padronização,
só acho que seria pouco claro para pessoas mais velhas, alem disso a barra superior está desalinhda</t>
  </si>
  <si>
    <t>Media de idade</t>
  </si>
  <si>
    <t>Tarefa 1</t>
  </si>
  <si>
    <t>Media de tempo</t>
  </si>
  <si>
    <t>Porcentagem de sucesso</t>
  </si>
  <si>
    <t>Tarefa 2</t>
  </si>
  <si>
    <t>Tarefa 3</t>
  </si>
  <si>
    <t>Média SUS</t>
  </si>
  <si>
    <t>Média NPS</t>
  </si>
  <si>
    <t>Problema</t>
  </si>
  <si>
    <t>Severidade (0-4)</t>
  </si>
  <si>
    <t>Frequência</t>
  </si>
  <si>
    <t>Esforço</t>
  </si>
  <si>
    <t>Prioridade</t>
  </si>
  <si>
    <t>Ação Recomendada</t>
  </si>
  <si>
    <t>Menu Superior desalinhado</t>
  </si>
  <si>
    <t>1 (Baixa)</t>
  </si>
  <si>
    <t>25% (1/4 usuários)</t>
  </si>
  <si>
    <t>Baixo</t>
  </si>
  <si>
    <t>Baixa</t>
  </si>
  <si>
    <t>Padronizar as dimenções do menu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</si>
</sst>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Arial"/>
    </font>
    <font>
      <sz val="11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 style="thin">
        <color rgb="FF000000"/>
      </left>
      <right style="thin">
        <color theme="0"/>
      </right>
      <top/>
      <bottom style="thin">
        <color rgb="FF000000"/>
      </bottom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2" borderId="2" xfId="0" applyFont="1" applyFill="1" applyBorder="1" applyAlignment="1">
      <alignment horizontal="center" vertical="top" wrapText="1" readingOrder="1"/>
    </xf>
    <xf numFmtId="0" fontId="5" fillId="2" borderId="2" xfId="0" applyFont="1" applyFill="1" applyBorder="1" applyAlignment="1">
      <alignment horizontal="left" vertical="center" wrapText="1" indent="1" readingOrder="1"/>
    </xf>
    <xf numFmtId="0" fontId="6" fillId="3" borderId="3" xfId="0" applyFont="1" applyFill="1" applyBorder="1" applyAlignment="1">
      <alignment horizontal="left" vertical="center" wrapText="1" indent="1" readingOrder="1"/>
    </xf>
    <xf numFmtId="0" fontId="6" fillId="4" borderId="4" xfId="0" applyFont="1" applyFill="1" applyBorder="1" applyAlignment="1">
      <alignment horizontal="left" vertical="center" wrapText="1" indent="1" readingOrder="1"/>
    </xf>
    <xf numFmtId="0" fontId="0" fillId="5" borderId="5" xfId="0" applyFill="1" applyBorder="1" applyAlignment="1">
      <alignment vertical="center" wrapText="1"/>
    </xf>
    <xf numFmtId="0" fontId="7" fillId="5" borderId="9" xfId="0" applyFont="1" applyFill="1" applyBorder="1" applyAlignment="1">
      <alignment horizontal="center" vertical="center"/>
    </xf>
    <xf numFmtId="0" fontId="0" fillId="5" borderId="10" xfId="0" applyFill="1" applyBorder="1" applyAlignment="1">
      <alignment vertical="center" wrapText="1"/>
    </xf>
    <xf numFmtId="0" fontId="0" fillId="5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6" xfId="0" applyFill="1" applyBorder="1" applyAlignment="1">
      <alignment vertical="center" wrapText="1"/>
    </xf>
    <xf numFmtId="0" fontId="0" fillId="6" borderId="11" xfId="0" applyFill="1" applyBorder="1" applyAlignment="1">
      <alignment horizontal="center" vertical="center" wrapText="1"/>
    </xf>
    <xf numFmtId="9" fontId="0" fillId="6" borderId="7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9" fontId="0" fillId="6" borderId="8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0" fillId="5" borderId="13" xfId="0" applyFill="1" applyBorder="1" applyAlignment="1">
      <alignment horizontal="center" wrapText="1"/>
    </xf>
    <xf numFmtId="0" fontId="0" fillId="6" borderId="14" xfId="0" applyFill="1" applyBorder="1" applyAlignment="1">
      <alignment horizontal="center" vertical="center"/>
    </xf>
    <xf numFmtId="1" fontId="0" fillId="6" borderId="12" xfId="0" applyNumberFormat="1" applyFill="1" applyBorder="1" applyAlignment="1">
      <alignment horizontal="center" vertical="center"/>
    </xf>
    <xf numFmtId="1" fontId="0" fillId="6" borderId="11" xfId="0" applyNumberFormat="1" applyFill="1" applyBorder="1" applyAlignment="1">
      <alignment horizontal="center" vertical="center"/>
    </xf>
    <xf numFmtId="1" fontId="0" fillId="6" borderId="8" xfId="0" applyNumberForma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O8" sqref="O8"/>
    </sheetView>
  </sheetViews>
  <sheetFormatPr defaultRowHeight="15" customHeight="1"/>
  <cols>
    <col min="1" max="1" width="14.28515625" customWidth="1"/>
    <col min="2" max="2" width="13.7109375" customWidth="1"/>
    <col min="3" max="3" width="15.7109375" customWidth="1"/>
    <col min="4" max="4" width="15.140625" customWidth="1"/>
    <col min="5" max="5" width="14.7109375" customWidth="1"/>
    <col min="6" max="6" width="13.28515625" customWidth="1"/>
    <col min="7" max="7" width="14.5703125" customWidth="1"/>
    <col min="8" max="12" width="13.28515625" customWidth="1"/>
    <col min="13" max="13" width="13.140625" customWidth="1"/>
    <col min="14" max="14" width="10.7109375" customWidth="1"/>
    <col min="15" max="15" width="10.42578125" bestFit="1" customWidth="1"/>
  </cols>
  <sheetData>
    <row r="1" spans="1:16" ht="3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/>
    </row>
    <row r="2" spans="1:16" ht="48">
      <c r="A2" s="18" t="s">
        <v>15</v>
      </c>
      <c r="B2" s="18" t="s">
        <v>16</v>
      </c>
      <c r="C2" s="18" t="s">
        <v>17</v>
      </c>
      <c r="D2" s="18" t="s">
        <v>18</v>
      </c>
      <c r="E2" s="18">
        <v>162</v>
      </c>
      <c r="F2" s="18" t="s">
        <v>19</v>
      </c>
      <c r="G2" s="18" t="s">
        <v>20</v>
      </c>
      <c r="H2" s="18">
        <v>128</v>
      </c>
      <c r="I2" s="18" t="s">
        <v>19</v>
      </c>
      <c r="J2" s="18" t="s">
        <v>21</v>
      </c>
      <c r="K2" s="18">
        <v>43</v>
      </c>
      <c r="L2" s="18" t="s">
        <v>19</v>
      </c>
      <c r="M2" s="18" t="s">
        <v>22</v>
      </c>
      <c r="N2" s="18">
        <v>97.5</v>
      </c>
      <c r="O2" s="18">
        <v>10</v>
      </c>
      <c r="P2" s="2"/>
    </row>
    <row r="3" spans="1:16" ht="60.75">
      <c r="A3" s="19" t="s">
        <v>23</v>
      </c>
      <c r="B3" s="19" t="s">
        <v>16</v>
      </c>
      <c r="C3" s="19" t="s">
        <v>17</v>
      </c>
      <c r="D3" s="19" t="s">
        <v>18</v>
      </c>
      <c r="E3" s="19">
        <v>148</v>
      </c>
      <c r="F3" s="19" t="s">
        <v>19</v>
      </c>
      <c r="G3" s="19" t="s">
        <v>20</v>
      </c>
      <c r="H3" s="19">
        <v>112</v>
      </c>
      <c r="I3" s="19" t="s">
        <v>19</v>
      </c>
      <c r="J3" s="19" t="s">
        <v>21</v>
      </c>
      <c r="K3" s="19">
        <v>23</v>
      </c>
      <c r="L3" s="19" t="s">
        <v>19</v>
      </c>
      <c r="M3" s="19" t="s">
        <v>24</v>
      </c>
      <c r="N3" s="19">
        <v>90</v>
      </c>
      <c r="O3" s="19">
        <v>9</v>
      </c>
      <c r="P3" s="2"/>
    </row>
    <row r="4" spans="1:16" ht="63" customHeight="1">
      <c r="A4" s="20" t="s">
        <v>25</v>
      </c>
      <c r="B4" s="20" t="s">
        <v>26</v>
      </c>
      <c r="C4" s="20" t="s">
        <v>27</v>
      </c>
      <c r="D4" s="20" t="s">
        <v>18</v>
      </c>
      <c r="E4" s="20">
        <v>94</v>
      </c>
      <c r="F4" s="20" t="s">
        <v>19</v>
      </c>
      <c r="G4" s="20" t="s">
        <v>20</v>
      </c>
      <c r="H4" s="20">
        <v>61</v>
      </c>
      <c r="I4" s="20" t="s">
        <v>19</v>
      </c>
      <c r="J4" s="18" t="s">
        <v>21</v>
      </c>
      <c r="K4" s="20">
        <v>7</v>
      </c>
      <c r="L4" s="20" t="s">
        <v>19</v>
      </c>
      <c r="M4" s="20" t="s">
        <v>28</v>
      </c>
      <c r="N4" s="20">
        <v>85</v>
      </c>
      <c r="O4" s="20">
        <v>10</v>
      </c>
      <c r="P4" s="2"/>
    </row>
    <row r="5" spans="1:16" ht="65.25" customHeight="1">
      <c r="A5" s="19" t="s">
        <v>29</v>
      </c>
      <c r="B5" s="19" t="s">
        <v>30</v>
      </c>
      <c r="C5" s="19" t="s">
        <v>27</v>
      </c>
      <c r="D5" s="19" t="s">
        <v>18</v>
      </c>
      <c r="E5" s="19">
        <v>10</v>
      </c>
      <c r="F5" s="19" t="s">
        <v>19</v>
      </c>
      <c r="G5" s="19" t="s">
        <v>20</v>
      </c>
      <c r="H5" s="19">
        <v>50</v>
      </c>
      <c r="I5" s="19" t="s">
        <v>19</v>
      </c>
      <c r="J5" s="19" t="s">
        <v>21</v>
      </c>
      <c r="K5" s="19">
        <v>24</v>
      </c>
      <c r="L5" s="19" t="s">
        <v>19</v>
      </c>
      <c r="M5" s="19" t="s">
        <v>31</v>
      </c>
      <c r="N5" s="19">
        <v>100</v>
      </c>
      <c r="O5" s="19">
        <v>10</v>
      </c>
    </row>
    <row r="6" spans="1:16"/>
    <row r="7" spans="1:16" ht="30.75">
      <c r="B7" s="21" t="s">
        <v>32</v>
      </c>
      <c r="D7" s="8" t="s">
        <v>33</v>
      </c>
      <c r="E7" s="9" t="s">
        <v>34</v>
      </c>
      <c r="F7" s="7" t="s">
        <v>35</v>
      </c>
      <c r="G7" s="10" t="s">
        <v>36</v>
      </c>
      <c r="H7" s="9" t="s">
        <v>34</v>
      </c>
      <c r="I7" s="7" t="s">
        <v>35</v>
      </c>
      <c r="J7" s="10" t="s">
        <v>37</v>
      </c>
      <c r="K7" s="9" t="s">
        <v>34</v>
      </c>
      <c r="L7" s="12" t="s">
        <v>35</v>
      </c>
      <c r="N7" s="10" t="s">
        <v>38</v>
      </c>
      <c r="O7" s="11" t="s">
        <v>39</v>
      </c>
    </row>
    <row r="8" spans="1:16" ht="28.5" customHeight="1">
      <c r="B8" s="22">
        <v>24</v>
      </c>
      <c r="D8" s="13" t="s">
        <v>18</v>
      </c>
      <c r="E8" s="23">
        <f>AVERAGE(E2:E5)</f>
        <v>103.5</v>
      </c>
      <c r="F8" s="14">
        <f>COUNTA(F2:F5) / COUNTIF(F2:F5,"Sim")</f>
        <v>1</v>
      </c>
      <c r="G8" s="15" t="s">
        <v>20</v>
      </c>
      <c r="H8" s="23">
        <f>AVERAGE(H2:H5)</f>
        <v>87.75</v>
      </c>
      <c r="I8" s="14">
        <f>COUNTA(I2:I5) / COUNTIF(I2:I5,"Sim")</f>
        <v>1</v>
      </c>
      <c r="J8" s="13" t="s">
        <v>21</v>
      </c>
      <c r="K8" s="23">
        <f>AVERAGE(K2:K5)</f>
        <v>24.25</v>
      </c>
      <c r="L8" s="16">
        <f>COUNTA(L2:L5) / COUNTIF(L2:L5,"Sim")</f>
        <v>1</v>
      </c>
      <c r="M8" s="17"/>
      <c r="N8" s="24">
        <f>AVERAGE(N2:N5)</f>
        <v>93.125</v>
      </c>
      <c r="O8" s="25">
        <f>AVERAGE(O2:O5)</f>
        <v>9.75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752B-0015-4C4B-B4C8-FCBC68CA6F23}">
  <dimension ref="A1:F3"/>
  <sheetViews>
    <sheetView workbookViewId="0">
      <selection activeCell="F8" sqref="F8"/>
    </sheetView>
  </sheetViews>
  <sheetFormatPr defaultRowHeight="14.45"/>
  <cols>
    <col min="1" max="1" width="20.5703125" customWidth="1"/>
    <col min="2" max="2" width="22.7109375" customWidth="1"/>
    <col min="3" max="3" width="19.85546875" customWidth="1"/>
    <col min="4" max="4" width="16.5703125" customWidth="1"/>
    <col min="5" max="5" width="15.42578125" customWidth="1"/>
    <col min="6" max="6" width="35" customWidth="1"/>
  </cols>
  <sheetData>
    <row r="1" spans="1:6" ht="72.599999999999994" thickBot="1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</row>
    <row r="2" spans="1:6" ht="86.25" customHeight="1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</row>
    <row r="3" spans="1:6" ht="18">
      <c r="A3" s="6"/>
      <c r="B3" s="6"/>
      <c r="C3" s="6"/>
      <c r="D3" s="6"/>
      <c r="E3" s="6"/>
      <c r="F3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Matheus Pereira Massavi</cp:lastModifiedBy>
  <cp:revision/>
  <dcterms:created xsi:type="dcterms:W3CDTF">2025-09-28T22:09:06Z</dcterms:created>
  <dcterms:modified xsi:type="dcterms:W3CDTF">2025-12-06T21:36:09Z</dcterms:modified>
  <cp:category/>
  <cp:contentStatus/>
</cp:coreProperties>
</file>